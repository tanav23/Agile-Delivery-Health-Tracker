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8fa30f730ccbc7/Desktop/"/>
    </mc:Choice>
  </mc:AlternateContent>
  <xr:revisionPtr revIDLastSave="2" documentId="8_{EA7BB9CB-C66B-4BDC-A849-44F1134912DC}" xr6:coauthVersionLast="47" xr6:coauthVersionMax="47" xr10:uidLastSave="{303C9246-7339-408F-832B-C6B256644417}"/>
  <bookViews>
    <workbookView xWindow="-108" yWindow="-108" windowWidth="23256" windowHeight="12456" activeTab="1" xr2:uid="{C1DEEAB0-2A6E-49FB-A399-CAC3B80A5F56}"/>
  </bookViews>
  <sheets>
    <sheet name="Work Items" sheetId="1" r:id="rId1"/>
    <sheet name="Progam Health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C2" i="2"/>
  <c r="B2" i="2"/>
</calcChain>
</file>

<file path=xl/sharedStrings.xml><?xml version="1.0" encoding="utf-8"?>
<sst xmlns="http://schemas.openxmlformats.org/spreadsheetml/2006/main" count="65" uniqueCount="49">
  <si>
    <t>Issue Key</t>
  </si>
  <si>
    <t xml:space="preserve"> Work Item</t>
  </si>
  <si>
    <t xml:space="preserve"> Epic</t>
  </si>
  <si>
    <t xml:space="preserve"> Owner</t>
  </si>
  <si>
    <t xml:space="preserve"> Status</t>
  </si>
  <si>
    <t xml:space="preserve"> Priority</t>
  </si>
  <si>
    <t xml:space="preserve"> Start Date</t>
  </si>
  <si>
    <t xml:space="preserve"> Due Date</t>
  </si>
  <si>
    <t xml:space="preserve"> Dependency</t>
  </si>
  <si>
    <t xml:space="preserve"> Blocker</t>
  </si>
  <si>
    <t xml:space="preserve"> Next Action</t>
  </si>
  <si>
    <t xml:space="preserve"> Milestone Confidence</t>
  </si>
  <si>
    <t>Total Work Items</t>
  </si>
  <si>
    <t>Overdue Open Items</t>
  </si>
  <si>
    <t>Blocked Open Items</t>
  </si>
  <si>
    <t>SCRUM-11</t>
  </si>
  <si>
    <t>SCRUM-12</t>
  </si>
  <si>
    <t>SCRUM-13</t>
  </si>
  <si>
    <t>SCRUM-14</t>
  </si>
  <si>
    <t>SCRUM-15</t>
  </si>
  <si>
    <t>Define functional requirements and success metrics</t>
  </si>
  <si>
    <t>Discovery &amp; Requirements</t>
  </si>
  <si>
    <t>To Do</t>
  </si>
  <si>
    <t>High</t>
  </si>
  <si>
    <t>Map AI workflow and exception paths</t>
  </si>
  <si>
    <t>Workflow &amp; Integration Design</t>
  </si>
  <si>
    <t>Define AI classification and review rules</t>
  </si>
  <si>
    <t>AI Classification &amp; Response Drafting</t>
  </si>
  <si>
    <t>Define integration failure and retry handling</t>
  </si>
  <si>
    <t>Testing, Reliability &amp; Readiness</t>
  </si>
  <si>
    <t>Build the delivery health tracker</t>
  </si>
  <si>
    <t>Delivery Monitoring &amp; Handover</t>
  </si>
  <si>
    <t>TPM (Simulation)</t>
  </si>
  <si>
    <t>Technical Owner (Simulation)</t>
  </si>
  <si>
    <t>AI Engineer (Simulation)</t>
  </si>
  <si>
    <t>Integration Engineer (Simulation)</t>
  </si>
  <si>
    <t xml:space="preserve">None </t>
  </si>
  <si>
    <t xml:space="preserve">SCRUM-11 </t>
  </si>
  <si>
    <t xml:space="preserve">SCRUM-12 </t>
  </si>
  <si>
    <t>None</t>
  </si>
  <si>
    <t>Confirm scope and success metrics</t>
  </si>
  <si>
    <t>Define classification rules and human-review thresholds</t>
  </si>
  <si>
    <t>Document retry limits and duplicate-prevention tests</t>
  </si>
  <si>
    <t>Validate tracker formulas and reporting view</t>
  </si>
  <si>
    <t>Medium</t>
  </si>
  <si>
    <t xml:space="preserve">Requirements review pending </t>
  </si>
  <si>
    <t>In Progress</t>
  </si>
  <si>
    <t>Follow up with requirements owner; confirm review date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</si>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</sst>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DB3327-38C1-401C-BF95-7075625095F1}" name="Table1" displayName="Table1" ref="A1:C2" totalsRowShown="0">
  <autoFilter ref="A1:C2" xr:uid="{32DB3327-38C1-401C-BF95-7075625095F1}"/>
  <tableColumns count="3">
    <tableColumn id="1" xr3:uid="{3458A239-79BD-4D9C-BEBF-3036C814AD65}" name="Total Work Items">
      <calculatedColumnFormula>COUNTA('Work Items'!A2:A100)</calculatedColumnFormula>
    </tableColumn>
    <tableColumn id="2" xr3:uid="{25895F32-C08B-4FB5-9AA9-70C5B00B98FE}" name="Overdue Open Items">
      <calculatedColumnFormula>COUNTIFS('Work Items'!H2:H100,"&lt;"&amp;TODAY(),'Work Items'!E2:E100,"&lt;&gt;Done",'Work Items'!A2:A100,"&lt;&gt;")</calculatedColumnFormula>
    </tableColumn>
    <tableColumn id="3" xr3:uid="{2C28F07B-EEB0-495A-8986-8B68409FF801}" name="Blocked Open Items">
      <calculatedColumnFormula>COUNTIFS('Work Items'!J2:J100,"&lt;&gt;None",'Work Items'!J2:J100,"&lt;&gt;",'Work Items'!E2:E100,"&lt;&gt;Done",'Work Items'!A2:A100,"&lt;&gt;")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1A47-BA15-4346-BECA-2C87B414673F}">
  <sheetPr codeName="Sheet1"/>
  <dimension ref="A1:L6"/>
  <sheetViews>
    <sheetView topLeftCell="C1" zoomScaleNormal="100" workbookViewId="0">
      <selection activeCell="K15" sqref="K15"/>
    </sheetView>
  </sheetViews>
  <sheetFormatPr defaultRowHeight="14.4" x14ac:dyDescent="0.3"/>
  <cols>
    <col min="1" max="1" width="9.77734375" bestFit="1" customWidth="1"/>
    <col min="2" max="2" width="43.5546875" bestFit="1" customWidth="1"/>
    <col min="3" max="3" width="31.44140625" bestFit="1" customWidth="1"/>
    <col min="4" max="4" width="28" bestFit="1" customWidth="1"/>
    <col min="5" max="5" width="9.88671875" bestFit="1" customWidth="1"/>
    <col min="6" max="6" width="7.33203125" bestFit="1" customWidth="1"/>
    <col min="7" max="7" width="9.6640625" bestFit="1" customWidth="1"/>
    <col min="8" max="8" width="9.21875" bestFit="1" customWidth="1"/>
    <col min="9" max="9" width="11.44140625" bestFit="1" customWidth="1"/>
    <col min="10" max="10" width="25.77734375" bestFit="1" customWidth="1"/>
    <col min="11" max="11" width="48.109375" bestFit="1" customWidth="1"/>
    <col min="12" max="12" width="19.44140625" bestFit="1" customWidth="1"/>
    <col min="13" max="15" width="7.6640625" bestFit="1" customWidth="1"/>
    <col min="16" max="16" width="4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15</v>
      </c>
      <c r="B2" t="s">
        <v>20</v>
      </c>
      <c r="C2" t="s">
        <v>21</v>
      </c>
      <c r="D2" t="s">
        <v>32</v>
      </c>
      <c r="E2" t="s">
        <v>22</v>
      </c>
      <c r="F2" t="s">
        <v>23</v>
      </c>
      <c r="G2" s="2">
        <v>46309</v>
      </c>
      <c r="H2" s="2">
        <v>46310</v>
      </c>
      <c r="I2" t="s">
        <v>36</v>
      </c>
      <c r="J2" t="s">
        <v>39</v>
      </c>
      <c r="K2" t="s">
        <v>40</v>
      </c>
      <c r="L2" t="s">
        <v>23</v>
      </c>
    </row>
    <row r="3" spans="1:12" x14ac:dyDescent="0.3">
      <c r="A3" t="s">
        <v>16</v>
      </c>
      <c r="B3" t="s">
        <v>24</v>
      </c>
      <c r="C3" t="s">
        <v>25</v>
      </c>
      <c r="D3" t="s">
        <v>33</v>
      </c>
      <c r="E3" t="s">
        <v>46</v>
      </c>
      <c r="F3" t="s">
        <v>23</v>
      </c>
      <c r="G3" s="2">
        <v>46309</v>
      </c>
      <c r="H3" s="2">
        <v>46311</v>
      </c>
      <c r="I3" t="s">
        <v>37</v>
      </c>
      <c r="J3" t="s">
        <v>45</v>
      </c>
      <c r="K3" t="s">
        <v>47</v>
      </c>
      <c r="L3" t="s">
        <v>48</v>
      </c>
    </row>
    <row r="4" spans="1:12" x14ac:dyDescent="0.3">
      <c r="A4" t="s">
        <v>17</v>
      </c>
      <c r="B4" t="s">
        <v>26</v>
      </c>
      <c r="C4" t="s">
        <v>27</v>
      </c>
      <c r="D4" t="s">
        <v>34</v>
      </c>
      <c r="E4" t="s">
        <v>22</v>
      </c>
      <c r="F4" t="s">
        <v>23</v>
      </c>
      <c r="G4" s="2">
        <v>46310</v>
      </c>
      <c r="H4" s="2">
        <v>46314</v>
      </c>
      <c r="I4" t="s">
        <v>38</v>
      </c>
      <c r="J4" t="s">
        <v>39</v>
      </c>
      <c r="K4" t="s">
        <v>41</v>
      </c>
      <c r="L4" t="s">
        <v>44</v>
      </c>
    </row>
    <row r="5" spans="1:12" x14ac:dyDescent="0.3">
      <c r="A5" t="s">
        <v>18</v>
      </c>
      <c r="B5" t="s">
        <v>28</v>
      </c>
      <c r="C5" t="s">
        <v>29</v>
      </c>
      <c r="D5" t="s">
        <v>35</v>
      </c>
      <c r="E5" t="s">
        <v>22</v>
      </c>
      <c r="F5" t="s">
        <v>23</v>
      </c>
      <c r="G5" s="2">
        <v>46310</v>
      </c>
      <c r="H5" s="2">
        <v>46314</v>
      </c>
      <c r="I5" t="s">
        <v>38</v>
      </c>
      <c r="J5" t="s">
        <v>39</v>
      </c>
      <c r="K5" t="s">
        <v>42</v>
      </c>
      <c r="L5" t="s">
        <v>44</v>
      </c>
    </row>
    <row r="6" spans="1:12" x14ac:dyDescent="0.3">
      <c r="A6" t="s">
        <v>19</v>
      </c>
      <c r="B6" t="s">
        <v>30</v>
      </c>
      <c r="C6" t="s">
        <v>31</v>
      </c>
      <c r="D6" t="s">
        <v>32</v>
      </c>
      <c r="E6" t="s">
        <v>22</v>
      </c>
      <c r="F6" t="s">
        <v>23</v>
      </c>
      <c r="G6" s="2">
        <v>46309</v>
      </c>
      <c r="H6" s="2">
        <v>46315</v>
      </c>
      <c r="I6" t="s">
        <v>39</v>
      </c>
      <c r="J6" t="s">
        <v>39</v>
      </c>
      <c r="K6" t="s">
        <v>43</v>
      </c>
      <c r="L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E929-657C-4484-8E30-E2F88744C735}">
  <sheetPr codeName="Sheet2"/>
  <dimension ref="A1:C2"/>
  <sheetViews>
    <sheetView tabSelected="1" workbookViewId="0">
      <selection activeCell="D12" sqref="D12"/>
    </sheetView>
  </sheetViews>
  <sheetFormatPr defaultRowHeight="14.4" x14ac:dyDescent="0.3"/>
  <cols>
    <col min="1" max="1" width="17.21875" customWidth="1"/>
    <col min="2" max="2" width="20.21875" customWidth="1"/>
    <col min="3" max="3" width="19.6640625" customWidth="1"/>
    <col min="4" max="4" width="17.88671875" bestFit="1" customWidth="1"/>
    <col min="5" max="5" width="17.44140625" bestFit="1" customWidth="1"/>
  </cols>
  <sheetData>
    <row r="1" spans="1:3" x14ac:dyDescent="0.3">
      <c r="A1" t="s">
        <v>12</v>
      </c>
      <c r="B1" t="s">
        <v>13</v>
      </c>
      <c r="C1" t="s">
        <v>14</v>
      </c>
    </row>
    <row r="2" spans="1:3" x14ac:dyDescent="0.3">
      <c r="A2">
        <f>COUNTA('Work Items'!A2:A100)</f>
        <v>5</v>
      </c>
      <c r="B2">
        <f ca="1">COUNTIFS('Work Items'!H2:H100,"&lt;"&amp;TODAY(),'Work Items'!E2:E100,"&lt;&gt;Done",'Work Items'!A2:A100,"&lt;&gt;")</f>
        <v>0</v>
      </c>
      <c r="C2">
        <f>COUNTIFS('Work Items'!J2:J100,"&lt;&gt;None",'Work Items'!J2:J100,"&lt;&gt;",'Work Items'!E2:E100,"&lt;&gt;Done",'Work Items'!A2:A100,"&lt;&gt;")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Items</vt:lpstr>
      <vt:lpstr>Progam 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Tanav Pathak</dc:creator>
  <cp:lastModifiedBy>Tanav Pathak</cp:lastModifiedBy>
  <dcterms:created xsi:type="dcterms:W3CDTF">2026-10-13T22:22:47Z</dcterms:created>
  <dcterms:modified xsi:type="dcterms:W3CDTF">2026-10-14T01:00:58Z</dcterms:modified>
</cp:coreProperties>
</file>